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9980" windowHeight="7200"/>
  </bookViews>
  <sheets>
    <sheet name="Exercice de maison" sheetId="1" r:id="rId1"/>
    <sheet name="Partiel 2024" sheetId="2" r:id="rId2"/>
  </sheets>
  <definedNames>
    <definedName name="Matrice1">'Exercice de maison'!$H$24:$J$26</definedName>
    <definedName name="Matrice2">'Exercice de maison'!$C$32:$C$34</definedName>
  </definedNames>
  <calcPr calcId="162913" iterateCount="1190"/>
</workbook>
</file>

<file path=xl/calcChain.xml><?xml version="1.0" encoding="utf-8"?>
<calcChain xmlns="http://schemas.openxmlformats.org/spreadsheetml/2006/main">
  <c r="C25" i="1" l="1"/>
  <c r="D62" i="2"/>
  <c r="H61" i="2"/>
  <c r="E61" i="2"/>
  <c r="D61" i="2"/>
  <c r="C53" i="2"/>
  <c r="H42" i="2"/>
  <c r="H41" i="2"/>
  <c r="D40" i="2" s="1"/>
  <c r="H40" i="2"/>
  <c r="C40" i="2" s="1"/>
  <c r="E40" i="2"/>
  <c r="C32" i="2"/>
  <c r="D27" i="2"/>
  <c r="C27" i="2"/>
  <c r="D26" i="2"/>
  <c r="O25" i="2"/>
  <c r="D17" i="2"/>
  <c r="E62" i="2" s="1"/>
  <c r="C17" i="2"/>
  <c r="B17" i="2"/>
  <c r="C62" i="2" s="1"/>
  <c r="D16" i="2"/>
  <c r="E26" i="2" s="1"/>
  <c r="C16" i="2"/>
  <c r="C52" i="2" s="1"/>
  <c r="B16" i="2"/>
  <c r="C61" i="2" s="1"/>
  <c r="F61" i="2" s="1"/>
  <c r="G61" i="2" s="1"/>
  <c r="D15" i="2"/>
  <c r="E25" i="2" s="1"/>
  <c r="C15" i="2"/>
  <c r="C51" i="2" s="1"/>
  <c r="B15" i="2"/>
  <c r="C25" i="2" s="1"/>
  <c r="D7" i="2"/>
  <c r="D8" i="2" s="1"/>
  <c r="C7" i="2"/>
  <c r="C8" i="2" s="1"/>
  <c r="B7" i="2"/>
  <c r="B8" i="2" s="1"/>
  <c r="E6" i="2"/>
  <c r="F6" i="2" s="1"/>
  <c r="C34" i="2" s="1"/>
  <c r="E5" i="2"/>
  <c r="F5" i="2" s="1"/>
  <c r="C33" i="2" s="1"/>
  <c r="F4" i="2"/>
  <c r="E4" i="2"/>
  <c r="O25" i="1"/>
  <c r="F62" i="2" l="1"/>
  <c r="G62" i="2" s="1"/>
  <c r="E43" i="2"/>
  <c r="E44" i="2" s="1"/>
  <c r="C43" i="2"/>
  <c r="C44" i="2" s="1"/>
  <c r="F40" i="2"/>
  <c r="G40" i="2" s="1"/>
  <c r="C54" i="2"/>
  <c r="C42" i="2"/>
  <c r="C60" i="2"/>
  <c r="E27" i="2"/>
  <c r="D42" i="2"/>
  <c r="D60" i="2"/>
  <c r="D63" i="2" s="1"/>
  <c r="D64" i="2" s="1"/>
  <c r="C41" i="2"/>
  <c r="E42" i="2"/>
  <c r="E60" i="2"/>
  <c r="E63" i="2" s="1"/>
  <c r="E64" i="2" s="1"/>
  <c r="D25" i="2"/>
  <c r="C26" i="2"/>
  <c r="D41" i="2"/>
  <c r="D43" i="2" s="1"/>
  <c r="D44" i="2" s="1"/>
  <c r="E41" i="2"/>
  <c r="B16" i="1"/>
  <c r="C41" i="1" s="1"/>
  <c r="C15" i="1"/>
  <c r="B17" i="1"/>
  <c r="B15" i="1"/>
  <c r="C40" i="1" s="1"/>
  <c r="F60" i="2" l="1"/>
  <c r="G60" i="2" s="1"/>
  <c r="C63" i="2"/>
  <c r="C64" i="2" s="1"/>
  <c r="F42" i="2"/>
  <c r="G42" i="2" s="1"/>
  <c r="F41" i="2"/>
  <c r="G41" i="2" s="1"/>
  <c r="C17" i="1"/>
  <c r="C16" i="1"/>
  <c r="H42" i="1"/>
  <c r="H41" i="1"/>
  <c r="H40" i="1"/>
  <c r="E5" i="1"/>
  <c r="F5" i="1" s="1"/>
  <c r="C33" i="1" s="1"/>
  <c r="C60" i="1"/>
  <c r="H61" i="1"/>
  <c r="B7" i="1"/>
  <c r="B8" i="1" s="1"/>
  <c r="D17" i="1" l="1"/>
  <c r="E62" i="1" s="1"/>
  <c r="D16" i="1"/>
  <c r="E61" i="1" s="1"/>
  <c r="D15" i="1"/>
  <c r="C62" i="1"/>
  <c r="C61" i="1"/>
  <c r="D7" i="1"/>
  <c r="D8" i="1" s="1"/>
  <c r="C7" i="1"/>
  <c r="C8" i="1" s="1"/>
  <c r="E6" i="1"/>
  <c r="F6" i="1" s="1"/>
  <c r="C34" i="1" s="1"/>
  <c r="E4" i="1"/>
  <c r="F4" i="1" s="1"/>
  <c r="C32" i="1" s="1"/>
  <c r="C63" i="1" l="1"/>
  <c r="C64" i="1" s="1"/>
  <c r="E63" i="1"/>
  <c r="E64" i="1" s="1"/>
  <c r="C51" i="1"/>
  <c r="D60" i="1"/>
  <c r="C52" i="1"/>
  <c r="D61" i="1"/>
  <c r="F61" i="1" s="1"/>
  <c r="G61" i="1" s="1"/>
  <c r="C53" i="1"/>
  <c r="D62" i="1"/>
  <c r="F62" i="1" s="1"/>
  <c r="G62" i="1" s="1"/>
  <c r="E60" i="1"/>
  <c r="E40" i="1"/>
  <c r="C26" i="1"/>
  <c r="D25" i="1"/>
  <c r="D40" i="1"/>
  <c r="E42" i="1"/>
  <c r="E27" i="1"/>
  <c r="C27" i="1"/>
  <c r="C42" i="1"/>
  <c r="D26" i="1"/>
  <c r="D41" i="1"/>
  <c r="D27" i="1"/>
  <c r="D42" i="1"/>
  <c r="E25" i="1"/>
  <c r="E26" i="1"/>
  <c r="E41" i="1"/>
  <c r="F42" i="1" l="1"/>
  <c r="G42" i="1" s="1"/>
  <c r="D63" i="1"/>
  <c r="D64" i="1" s="1"/>
  <c r="F60" i="1"/>
  <c r="G60" i="1" s="1"/>
  <c r="C54" i="1"/>
  <c r="E43" i="1"/>
  <c r="E44" i="1" s="1"/>
  <c r="D43" i="1"/>
  <c r="D44" i="1" s="1"/>
  <c r="F40" i="1"/>
  <c r="G40" i="1" s="1"/>
  <c r="F41" i="1"/>
  <c r="G41" i="1" s="1"/>
  <c r="C43" i="1"/>
  <c r="C44" i="1" s="1"/>
</calcChain>
</file>

<file path=xl/sharedStrings.xml><?xml version="1.0" encoding="utf-8"?>
<sst xmlns="http://schemas.openxmlformats.org/spreadsheetml/2006/main" count="150" uniqueCount="22">
  <si>
    <t>Agriculture</t>
  </si>
  <si>
    <t>Industrie</t>
  </si>
  <si>
    <t>Service</t>
  </si>
  <si>
    <t>TCI</t>
  </si>
  <si>
    <t>DF</t>
  </si>
  <si>
    <t>PT</t>
  </si>
  <si>
    <t>VA</t>
  </si>
  <si>
    <t>Industriee</t>
  </si>
  <si>
    <t>service</t>
  </si>
  <si>
    <t>1: remplissage de tableau</t>
  </si>
  <si>
    <t>4: a/ : Déterminons  l’unité de production totale de chaque secteur</t>
  </si>
  <si>
    <t>5:a/Déterminons combiens d’unité de biens de chaque secteur doit il utiliser en consommation intermédiaire</t>
  </si>
  <si>
    <t>b : Réalisons le tableau</t>
  </si>
  <si>
    <t xml:space="preserve">3: Matrice Inverse de Leontief </t>
  </si>
  <si>
    <t>Matrice de Leontief (I-A)</t>
  </si>
  <si>
    <t xml:space="preserve">Inverse de la matrice de Leontief (I-A) </t>
  </si>
  <si>
    <t xml:space="preserve"> </t>
  </si>
  <si>
    <t>Nouvelle DF</t>
  </si>
  <si>
    <t>b : Réalisons le tableaux TES correspondant à cette prévision</t>
  </si>
  <si>
    <t>Nouvelle PT</t>
  </si>
  <si>
    <t>2: les coefficients techinique A</t>
  </si>
  <si>
    <t>Pour réaliser 5000 unités de biens industriels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</si>
</sst>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2" borderId="1" xfId="0" applyFill="1" applyBorder="1" applyProtection="1">
      <protection locked="0" hidden="1"/>
    </xf>
    <xf numFmtId="2" fontId="0" fillId="2" borderId="1" xfId="0" applyNumberFormat="1" applyFill="1" applyBorder="1" applyProtection="1">
      <protection locked="0" hidden="1"/>
    </xf>
    <xf numFmtId="2" fontId="0" fillId="0" borderId="0" xfId="0" applyNumberFormat="1" applyProtection="1">
      <protection locked="0" hidden="1"/>
    </xf>
    <xf numFmtId="0" fontId="0" fillId="0" borderId="0" xfId="0" applyAlignment="1" applyProtection="1">
      <alignment vertical="center"/>
      <protection locked="0" hidden="1"/>
    </xf>
    <xf numFmtId="0" fontId="0" fillId="0" borderId="1" xfId="0" applyFill="1" applyBorder="1" applyProtection="1">
      <protection locked="0" hidden="1"/>
    </xf>
    <xf numFmtId="0" fontId="1" fillId="0" borderId="3" xfId="0" applyFont="1" applyBorder="1" applyAlignment="1" applyProtection="1">
      <alignment vertical="center"/>
      <protection locked="0" hidden="1"/>
    </xf>
    <xf numFmtId="0" fontId="0" fillId="0" borderId="2" xfId="0" applyBorder="1" applyProtection="1">
      <protection locked="0" hidden="1"/>
    </xf>
    <xf numFmtId="0" fontId="0" fillId="0" borderId="1" xfId="0" applyBorder="1" applyProtection="1"/>
    <xf numFmtId="2" fontId="0" fillId="0" borderId="1" xfId="0" applyNumberFormat="1" applyBorder="1" applyProtection="1"/>
    <xf numFmtId="0" fontId="0" fillId="0" borderId="1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31</xdr:row>
          <xdr:rowOff>171450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24</xdr:row>
          <xdr:rowOff>0</xdr:rowOff>
        </xdr:from>
        <xdr:to>
          <xdr:col>12</xdr:col>
          <xdr:colOff>190500</xdr:colOff>
          <xdr:row>24</xdr:row>
          <xdr:rowOff>178594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InversMat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31</xdr:row>
          <xdr:rowOff>171450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24</xdr:row>
          <xdr:rowOff>0</xdr:rowOff>
        </xdr:from>
        <xdr:to>
          <xdr:col>12</xdr:col>
          <xdr:colOff>190500</xdr:colOff>
          <xdr:row>24</xdr:row>
          <xdr:rowOff>178594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InversMat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64"/>
  <sheetViews>
    <sheetView tabSelected="1" topLeftCell="A10" zoomScale="80" workbookViewId="0">
      <selection activeCell="I25" sqref="I25"/>
    </sheetView>
  </sheetViews>
  <sheetFormatPr baseColWidth="10" defaultColWidth="8.85546875" defaultRowHeight="15" x14ac:dyDescent="0.25"/>
  <cols>
    <col min="1" max="1" width="10.85546875" style="1" customWidth="1"/>
    <col min="2" max="2" width="10.28515625" style="1" customWidth="1"/>
    <col min="3" max="3" width="13" style="1" customWidth="1"/>
    <col min="4" max="4" width="9.28515625" style="1" customWidth="1"/>
    <col min="5" max="5" width="8.85546875" style="1"/>
    <col min="6" max="6" width="11.42578125" style="1" customWidth="1"/>
    <col min="7" max="7" width="9.85546875" style="1" customWidth="1"/>
    <col min="8" max="8" width="9.7109375" style="1" customWidth="1"/>
    <col min="9" max="16384" width="8.85546875" style="1"/>
  </cols>
  <sheetData>
    <row r="1" spans="1:17" x14ac:dyDescent="0.25">
      <c r="B1" s="1" t="s">
        <v>9</v>
      </c>
    </row>
    <row r="2" spans="1:17" x14ac:dyDescent="0.25"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3"/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3" t="s">
        <v>0</v>
      </c>
      <c r="B4" s="4">
        <v>100</v>
      </c>
      <c r="C4" s="4">
        <v>300</v>
      </c>
      <c r="D4" s="4">
        <v>200</v>
      </c>
      <c r="E4" s="11">
        <f>SUM(B4:D4)</f>
        <v>600</v>
      </c>
      <c r="F4" s="11">
        <f>G4-E4</f>
        <v>400</v>
      </c>
      <c r="G4" s="4">
        <v>1000</v>
      </c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3" t="s">
        <v>1</v>
      </c>
      <c r="B5" s="4">
        <v>200</v>
      </c>
      <c r="C5" s="4">
        <v>500</v>
      </c>
      <c r="D5" s="4">
        <v>300</v>
      </c>
      <c r="E5" s="11">
        <f>SUM(B5:D5)</f>
        <v>1000</v>
      </c>
      <c r="F5" s="11">
        <f>G5-E5</f>
        <v>2000</v>
      </c>
      <c r="G5" s="4">
        <v>3000</v>
      </c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3" t="s">
        <v>2</v>
      </c>
      <c r="B6" s="4">
        <v>100</v>
      </c>
      <c r="C6" s="4">
        <v>200</v>
      </c>
      <c r="D6" s="4">
        <v>200</v>
      </c>
      <c r="E6" s="11">
        <f>SUM(B6:D6)</f>
        <v>500</v>
      </c>
      <c r="F6" s="11">
        <f>G6-E6</f>
        <v>1500</v>
      </c>
      <c r="G6" s="4">
        <v>2000</v>
      </c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3" t="s">
        <v>3</v>
      </c>
      <c r="B7" s="11">
        <f>SUM(B4:B6)</f>
        <v>400</v>
      </c>
      <c r="C7" s="11">
        <f>SUM(C4:C6)</f>
        <v>1000</v>
      </c>
      <c r="D7" s="11">
        <f>SUM(D4:D6)</f>
        <v>700</v>
      </c>
      <c r="E7" s="3"/>
      <c r="F7" s="3"/>
      <c r="G7" s="3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3" t="s">
        <v>6</v>
      </c>
      <c r="B8" s="11">
        <f>G4-B7</f>
        <v>600</v>
      </c>
      <c r="C8" s="11">
        <f>G5-C7</f>
        <v>2000</v>
      </c>
      <c r="D8" s="11">
        <f>G6-D7</f>
        <v>1300</v>
      </c>
      <c r="E8" s="3"/>
      <c r="F8" s="3"/>
      <c r="G8" s="3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B12" s="1" t="s">
        <v>20</v>
      </c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3"/>
      <c r="B14" s="3" t="s">
        <v>0</v>
      </c>
      <c r="C14" s="3" t="s">
        <v>1</v>
      </c>
      <c r="D14" s="3" t="s">
        <v>2</v>
      </c>
    </row>
    <row r="15" spans="1:17" x14ac:dyDescent="0.25">
      <c r="A15" s="3" t="s">
        <v>0</v>
      </c>
      <c r="B15" s="12">
        <f>B4/G4</f>
        <v>0.1</v>
      </c>
      <c r="C15" s="12">
        <f>C4/G5</f>
        <v>0.1</v>
      </c>
      <c r="D15" s="12">
        <f>D4/G6</f>
        <v>0.1</v>
      </c>
    </row>
    <row r="16" spans="1:17" x14ac:dyDescent="0.25">
      <c r="A16" s="3" t="s">
        <v>7</v>
      </c>
      <c r="B16" s="12">
        <f>B5/G4</f>
        <v>0.2</v>
      </c>
      <c r="C16" s="12">
        <f>C5/G5</f>
        <v>0.16666666666666666</v>
      </c>
      <c r="D16" s="12">
        <f>D5/G6</f>
        <v>0.15</v>
      </c>
    </row>
    <row r="17" spans="1:15" x14ac:dyDescent="0.25">
      <c r="A17" s="3" t="s">
        <v>2</v>
      </c>
      <c r="B17" s="12">
        <f>B6/G4</f>
        <v>0.1</v>
      </c>
      <c r="C17" s="12">
        <f>C6/G5</f>
        <v>6.6666666666666666E-2</v>
      </c>
      <c r="D17" s="12">
        <f>D6/G6</f>
        <v>0.1</v>
      </c>
    </row>
    <row r="21" spans="1:15" x14ac:dyDescent="0.25">
      <c r="B21" s="1" t="s">
        <v>13</v>
      </c>
    </row>
    <row r="22" spans="1:15" x14ac:dyDescent="0.25">
      <c r="C22" s="1" t="s">
        <v>14</v>
      </c>
      <c r="H22" s="1" t="s">
        <v>15</v>
      </c>
    </row>
    <row r="23" spans="1:15" x14ac:dyDescent="0.25">
      <c r="G23" s="3"/>
      <c r="H23" s="3" t="s">
        <v>0</v>
      </c>
      <c r="I23" s="3" t="s">
        <v>1</v>
      </c>
      <c r="J23" s="3" t="s">
        <v>2</v>
      </c>
    </row>
    <row r="24" spans="1:15" x14ac:dyDescent="0.25">
      <c r="B24" s="3"/>
      <c r="C24" s="3" t="s">
        <v>0</v>
      </c>
      <c r="D24" s="3" t="s">
        <v>1</v>
      </c>
      <c r="E24" s="3" t="s">
        <v>2</v>
      </c>
      <c r="G24" s="3" t="s">
        <v>0</v>
      </c>
      <c r="H24" s="5">
        <v>1.1297440423654017</v>
      </c>
      <c r="I24" s="5">
        <v>6.1782877316857901E-2</v>
      </c>
      <c r="J24" s="5">
        <v>4.4130626654898489E-2</v>
      </c>
    </row>
    <row r="25" spans="1:15" x14ac:dyDescent="0.25">
      <c r="B25" s="3" t="s">
        <v>0</v>
      </c>
      <c r="C25" s="12">
        <f>1-B15</f>
        <v>0.9</v>
      </c>
      <c r="D25" s="11">
        <f>-C15</f>
        <v>-0.1</v>
      </c>
      <c r="E25" s="12">
        <f>-D15</f>
        <v>-0.1</v>
      </c>
      <c r="G25" s="3" t="s">
        <v>1</v>
      </c>
      <c r="H25" s="5">
        <v>0.24271844660194175</v>
      </c>
      <c r="I25" s="5">
        <v>1.0679611650485437</v>
      </c>
      <c r="J25" s="5">
        <v>4.8543689320388342E-2</v>
      </c>
      <c r="O25" s="1">
        <f>+G4*1.1</f>
        <v>1100</v>
      </c>
    </row>
    <row r="26" spans="1:15" x14ac:dyDescent="0.25">
      <c r="B26" s="3" t="s">
        <v>1</v>
      </c>
      <c r="C26" s="11">
        <f>-B16</f>
        <v>-0.2</v>
      </c>
      <c r="D26" s="11">
        <f>1-C16</f>
        <v>0.83333333333333337</v>
      </c>
      <c r="E26" s="12">
        <f>-D16</f>
        <v>-0.15</v>
      </c>
      <c r="G26" s="3" t="s">
        <v>2</v>
      </c>
      <c r="H26" s="5">
        <v>0.13901147396293029</v>
      </c>
      <c r="I26" s="5">
        <v>6.6195939982347754E-2</v>
      </c>
      <c r="J26" s="5">
        <v>1.1187113857016768</v>
      </c>
    </row>
    <row r="27" spans="1:15" x14ac:dyDescent="0.25">
      <c r="B27" s="3" t="s">
        <v>2</v>
      </c>
      <c r="C27" s="11">
        <f>-B17</f>
        <v>-0.1</v>
      </c>
      <c r="D27" s="11">
        <f>-C17</f>
        <v>-6.6666666666666666E-2</v>
      </c>
      <c r="E27" s="11">
        <f>1-D17</f>
        <v>0.9</v>
      </c>
    </row>
    <row r="28" spans="1:15" x14ac:dyDescent="0.25">
      <c r="I28" s="6"/>
      <c r="J28" s="6"/>
      <c r="K28" s="6"/>
    </row>
    <row r="29" spans="1:15" x14ac:dyDescent="0.25">
      <c r="B29" s="1" t="s">
        <v>10</v>
      </c>
      <c r="I29" s="6"/>
      <c r="J29" s="6"/>
      <c r="K29" s="6"/>
    </row>
    <row r="30" spans="1:15" x14ac:dyDescent="0.25">
      <c r="I30" s="6"/>
      <c r="J30" s="6"/>
      <c r="K30" s="6"/>
    </row>
    <row r="31" spans="1:15" x14ac:dyDescent="0.25">
      <c r="B31" s="3"/>
      <c r="C31" s="3" t="s">
        <v>17</v>
      </c>
      <c r="E31" s="3"/>
      <c r="F31" s="3" t="s">
        <v>19</v>
      </c>
      <c r="J31" s="1">
        <v>2640000</v>
      </c>
    </row>
    <row r="32" spans="1:15" x14ac:dyDescent="0.25">
      <c r="B32" s="3" t="s">
        <v>0</v>
      </c>
      <c r="C32" s="11">
        <f>F4*1.1</f>
        <v>440.00000000000006</v>
      </c>
      <c r="E32" s="3" t="s">
        <v>0</v>
      </c>
      <c r="F32" s="4">
        <v>2200.0000000000005</v>
      </c>
      <c r="G32" s="1">
        <v>2200.0000000000005</v>
      </c>
      <c r="J32" s="1">
        <v>3080000</v>
      </c>
    </row>
    <row r="33" spans="2:10" x14ac:dyDescent="0.25">
      <c r="B33" s="3" t="s">
        <v>1</v>
      </c>
      <c r="C33" s="11">
        <f t="shared" ref="C33:C34" si="0">F5*1.1</f>
        <v>2200</v>
      </c>
      <c r="E33" s="3" t="s">
        <v>1</v>
      </c>
      <c r="F33" s="4">
        <v>4400</v>
      </c>
      <c r="G33" s="1">
        <v>4400</v>
      </c>
      <c r="J33" s="1">
        <v>5280000</v>
      </c>
    </row>
    <row r="34" spans="2:10" x14ac:dyDescent="0.25">
      <c r="B34" s="3" t="s">
        <v>8</v>
      </c>
      <c r="C34" s="11">
        <f t="shared" si="0"/>
        <v>1650.0000000000002</v>
      </c>
      <c r="E34" s="3" t="s">
        <v>8</v>
      </c>
      <c r="F34" s="4">
        <v>6599.9999999999991</v>
      </c>
      <c r="G34" s="1">
        <v>6599.9999999999991</v>
      </c>
      <c r="J34" s="1" t="s">
        <v>16</v>
      </c>
    </row>
    <row r="37" spans="2:10" x14ac:dyDescent="0.25">
      <c r="B37" s="7" t="s">
        <v>18</v>
      </c>
    </row>
    <row r="39" spans="2:10" x14ac:dyDescent="0.25">
      <c r="B39" s="3"/>
      <c r="C39" s="8" t="s">
        <v>0</v>
      </c>
      <c r="D39" s="8" t="s">
        <v>1</v>
      </c>
      <c r="E39" s="8" t="s">
        <v>2</v>
      </c>
      <c r="F39" s="3" t="s">
        <v>3</v>
      </c>
      <c r="G39" s="3" t="s">
        <v>4</v>
      </c>
      <c r="H39" s="3" t="s">
        <v>5</v>
      </c>
    </row>
    <row r="40" spans="2:10" x14ac:dyDescent="0.25">
      <c r="B40" s="3" t="s">
        <v>0</v>
      </c>
      <c r="C40" s="13">
        <f>$H$40*B15</f>
        <v>220.00000000000006</v>
      </c>
      <c r="D40" s="13">
        <f>$H$41*C15</f>
        <v>440</v>
      </c>
      <c r="E40" s="13">
        <f>$H$42*D15</f>
        <v>660</v>
      </c>
      <c r="F40" s="11">
        <f>SUM(C40:E40)</f>
        <v>1320</v>
      </c>
      <c r="G40" s="11">
        <f>H40-F40</f>
        <v>880.00000000000045</v>
      </c>
      <c r="H40" s="11">
        <f>F32</f>
        <v>2200.0000000000005</v>
      </c>
    </row>
    <row r="41" spans="2:10" x14ac:dyDescent="0.25">
      <c r="B41" s="3" t="s">
        <v>1</v>
      </c>
      <c r="C41" s="13">
        <f>$H$40*B16</f>
        <v>440.00000000000011</v>
      </c>
      <c r="D41" s="13">
        <f>$H$41*C16</f>
        <v>733.33333333333326</v>
      </c>
      <c r="E41" s="13">
        <f>$H$42*D16</f>
        <v>989.99999999999977</v>
      </c>
      <c r="F41" s="11">
        <f>SUM(C41:E41)</f>
        <v>2163.333333333333</v>
      </c>
      <c r="G41" s="11">
        <f>H41-F41</f>
        <v>2236.666666666667</v>
      </c>
      <c r="H41" s="11">
        <f>F33</f>
        <v>4400</v>
      </c>
    </row>
    <row r="42" spans="2:10" x14ac:dyDescent="0.25">
      <c r="B42" s="3" t="s">
        <v>2</v>
      </c>
      <c r="C42" s="13">
        <f>$H$40*B17</f>
        <v>220.00000000000006</v>
      </c>
      <c r="D42" s="13">
        <f>$H$41*C17</f>
        <v>293.33333333333331</v>
      </c>
      <c r="E42" s="13">
        <f>$H$42*D17</f>
        <v>660</v>
      </c>
      <c r="F42" s="11">
        <f>SUM(C42:E42)</f>
        <v>1173.3333333333335</v>
      </c>
      <c r="G42" s="11">
        <f>H42-F42</f>
        <v>5426.6666666666661</v>
      </c>
      <c r="H42" s="11">
        <f>F34</f>
        <v>6599.9999999999991</v>
      </c>
    </row>
    <row r="43" spans="2:10" x14ac:dyDescent="0.25">
      <c r="B43" s="3" t="s">
        <v>3</v>
      </c>
      <c r="C43" s="11">
        <f>SUM(C40:C42)</f>
        <v>880.00000000000023</v>
      </c>
      <c r="D43" s="11">
        <f>SUM(D40:D42)</f>
        <v>1466.6666666666665</v>
      </c>
      <c r="E43" s="11">
        <f>SUM(E40:E42)</f>
        <v>2310</v>
      </c>
      <c r="F43" s="3"/>
      <c r="G43" s="3"/>
      <c r="H43" s="3"/>
    </row>
    <row r="44" spans="2:10" x14ac:dyDescent="0.25">
      <c r="B44" s="3" t="s">
        <v>6</v>
      </c>
      <c r="C44" s="11">
        <f>H40-C43</f>
        <v>1320.0000000000002</v>
      </c>
      <c r="D44" s="11">
        <f>H41-D43</f>
        <v>2933.3333333333335</v>
      </c>
      <c r="E44" s="11">
        <f>H42-E43</f>
        <v>4289.9999999999991</v>
      </c>
      <c r="F44" s="3"/>
      <c r="G44" s="3"/>
      <c r="H44" s="3"/>
    </row>
    <row r="46" spans="2:10" x14ac:dyDescent="0.25">
      <c r="B46" s="1" t="s">
        <v>21</v>
      </c>
    </row>
    <row r="47" spans="2:10" x14ac:dyDescent="0.25">
      <c r="B47" s="7" t="s">
        <v>11</v>
      </c>
    </row>
    <row r="50" spans="2:8" x14ac:dyDescent="0.25">
      <c r="B50" s="3"/>
      <c r="C50" s="3" t="s">
        <v>1</v>
      </c>
      <c r="D50" s="4">
        <v>5000</v>
      </c>
    </row>
    <row r="51" spans="2:8" x14ac:dyDescent="0.25">
      <c r="B51" s="3" t="s">
        <v>0</v>
      </c>
      <c r="C51" s="11">
        <f>+$D$50*C15</f>
        <v>500</v>
      </c>
      <c r="D51" s="3"/>
    </row>
    <row r="52" spans="2:8" x14ac:dyDescent="0.25">
      <c r="B52" s="3" t="s">
        <v>1</v>
      </c>
      <c r="C52" s="11">
        <f t="shared" ref="C52:C53" si="1">+$D$50*C16</f>
        <v>833.33333333333326</v>
      </c>
      <c r="D52" s="3"/>
    </row>
    <row r="53" spans="2:8" x14ac:dyDescent="0.25">
      <c r="B53" s="3" t="s">
        <v>2</v>
      </c>
      <c r="C53" s="11">
        <f t="shared" si="1"/>
        <v>333.33333333333331</v>
      </c>
      <c r="D53" s="3"/>
    </row>
    <row r="54" spans="2:8" x14ac:dyDescent="0.25">
      <c r="B54" s="3" t="s">
        <v>3</v>
      </c>
      <c r="C54" s="11">
        <f>SUM(C51:C53)</f>
        <v>1666.6666666666665</v>
      </c>
      <c r="D54" s="3"/>
    </row>
    <row r="57" spans="2:8" x14ac:dyDescent="0.25">
      <c r="B57" s="7" t="s">
        <v>12</v>
      </c>
    </row>
    <row r="58" spans="2:8" x14ac:dyDescent="0.25">
      <c r="B58" s="9"/>
      <c r="C58" s="9"/>
      <c r="D58" s="9"/>
      <c r="E58" s="9"/>
      <c r="F58" s="9"/>
      <c r="G58" s="9"/>
      <c r="H58" s="9"/>
    </row>
    <row r="59" spans="2:8" x14ac:dyDescent="0.25">
      <c r="B59" s="10"/>
      <c r="C59" s="10" t="s">
        <v>0</v>
      </c>
      <c r="D59" s="10" t="s">
        <v>1</v>
      </c>
      <c r="E59" s="10" t="s">
        <v>2</v>
      </c>
      <c r="F59" s="10" t="s">
        <v>3</v>
      </c>
      <c r="G59" s="10" t="s">
        <v>4</v>
      </c>
      <c r="H59" s="10" t="s">
        <v>5</v>
      </c>
    </row>
    <row r="60" spans="2:8" x14ac:dyDescent="0.25">
      <c r="B60" s="3" t="s">
        <v>0</v>
      </c>
      <c r="C60" s="13">
        <f>$H$60*B15</f>
        <v>200</v>
      </c>
      <c r="D60" s="13">
        <f>$H$61*C15</f>
        <v>500</v>
      </c>
      <c r="E60" s="13">
        <f>$H$62*D15</f>
        <v>600</v>
      </c>
      <c r="F60" s="11">
        <f>SUM(C60:E60)</f>
        <v>1300</v>
      </c>
      <c r="G60" s="11">
        <f>H60-F60</f>
        <v>700</v>
      </c>
      <c r="H60" s="4">
        <v>2000</v>
      </c>
    </row>
    <row r="61" spans="2:8" x14ac:dyDescent="0.25">
      <c r="B61" s="3" t="s">
        <v>1</v>
      </c>
      <c r="C61" s="13">
        <f>$H$60*B16</f>
        <v>400</v>
      </c>
      <c r="D61" s="13">
        <f>$H$61*C16</f>
        <v>833.33333333333326</v>
      </c>
      <c r="E61" s="13">
        <f>$H$62*D16</f>
        <v>900</v>
      </c>
      <c r="F61" s="11">
        <f>SUM(C61:E61)</f>
        <v>2133.333333333333</v>
      </c>
      <c r="G61" s="11">
        <f>H61-F61</f>
        <v>2866.666666666667</v>
      </c>
      <c r="H61" s="3">
        <f>D50</f>
        <v>5000</v>
      </c>
    </row>
    <row r="62" spans="2:8" x14ac:dyDescent="0.25">
      <c r="B62" s="3" t="s">
        <v>2</v>
      </c>
      <c r="C62" s="13">
        <f>$H$60*B17</f>
        <v>200</v>
      </c>
      <c r="D62" s="13">
        <f>$H$61*C17</f>
        <v>333.33333333333331</v>
      </c>
      <c r="E62" s="13">
        <f>$H$62*D17</f>
        <v>600</v>
      </c>
      <c r="F62" s="11">
        <f>SUM(C62:E62)</f>
        <v>1133.3333333333333</v>
      </c>
      <c r="G62" s="11">
        <f>H62-F62</f>
        <v>4866.666666666667</v>
      </c>
      <c r="H62" s="4">
        <v>6000</v>
      </c>
    </row>
    <row r="63" spans="2:8" x14ac:dyDescent="0.25">
      <c r="B63" s="3" t="s">
        <v>3</v>
      </c>
      <c r="C63" s="11">
        <f>SUM(C60:C62)</f>
        <v>800</v>
      </c>
      <c r="D63" s="11">
        <f>SUM(D60:D62)</f>
        <v>1666.6666666666665</v>
      </c>
      <c r="E63" s="11">
        <f>SUM(E60:E62)</f>
        <v>2100</v>
      </c>
      <c r="F63" s="3"/>
      <c r="G63" s="3"/>
      <c r="H63" s="3"/>
    </row>
    <row r="64" spans="2:8" x14ac:dyDescent="0.25">
      <c r="B64" s="3" t="s">
        <v>6</v>
      </c>
      <c r="C64" s="11">
        <f>H60-C63</f>
        <v>1200</v>
      </c>
      <c r="D64" s="11">
        <f>H61-D63</f>
        <v>3333.3333333333335</v>
      </c>
      <c r="E64" s="11">
        <f>H62-E63</f>
        <v>3900</v>
      </c>
      <c r="F64" s="3"/>
      <c r="G64" s="3"/>
      <c r="H64" s="3"/>
    </row>
  </sheetData>
  <sheetProtection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ProduitMatriciel">
                <anchor moveWithCells="1" sizeWithCells="1">
                  <from>
                    <xdr:col>6</xdr:col>
                    <xdr:colOff>647700</xdr:colOff>
                    <xdr:row>31</xdr:row>
                    <xdr:rowOff>171450</xdr:rowOff>
                  </from>
                  <to>
                    <xdr:col>8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InverserMatrice">
                <anchor moveWithCells="1" siz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190500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64"/>
  <sheetViews>
    <sheetView workbookViewId="0">
      <selection activeCell="F15" sqref="F15"/>
    </sheetView>
  </sheetViews>
  <sheetFormatPr baseColWidth="10" defaultColWidth="8.85546875" defaultRowHeight="15" x14ac:dyDescent="0.25"/>
  <cols>
    <col min="1" max="1" width="10.85546875" style="1" customWidth="1"/>
    <col min="2" max="2" width="10.28515625" style="1" customWidth="1"/>
    <col min="3" max="3" width="13" style="1" customWidth="1"/>
    <col min="4" max="4" width="9.28515625" style="1" customWidth="1"/>
    <col min="5" max="5" width="8.85546875" style="1"/>
    <col min="6" max="6" width="11.42578125" style="1" customWidth="1"/>
    <col min="7" max="7" width="9.85546875" style="1" customWidth="1"/>
    <col min="8" max="8" width="9.7109375" style="1" customWidth="1"/>
    <col min="9" max="16384" width="8.85546875" style="1"/>
  </cols>
  <sheetData>
    <row r="1" spans="1:17" x14ac:dyDescent="0.25">
      <c r="B1" s="1" t="s">
        <v>9</v>
      </c>
    </row>
    <row r="2" spans="1:17" x14ac:dyDescent="0.25"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3"/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3" t="s">
        <v>0</v>
      </c>
      <c r="B4" s="4">
        <v>100</v>
      </c>
      <c r="C4" s="4">
        <v>300</v>
      </c>
      <c r="D4" s="4">
        <v>200</v>
      </c>
      <c r="E4" s="11">
        <f>SUM(B4:D4)</f>
        <v>600</v>
      </c>
      <c r="F4" s="11">
        <f>G4-E4</f>
        <v>400</v>
      </c>
      <c r="G4" s="4">
        <v>1000</v>
      </c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3" t="s">
        <v>1</v>
      </c>
      <c r="B5" s="4">
        <v>200</v>
      </c>
      <c r="C5" s="4">
        <v>500</v>
      </c>
      <c r="D5" s="4">
        <v>300</v>
      </c>
      <c r="E5" s="11">
        <f>SUM(B5:D5)</f>
        <v>1000</v>
      </c>
      <c r="F5" s="11">
        <f>G5-E5</f>
        <v>2000</v>
      </c>
      <c r="G5" s="4">
        <v>3000</v>
      </c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3" t="s">
        <v>2</v>
      </c>
      <c r="B6" s="4">
        <v>100</v>
      </c>
      <c r="C6" s="4">
        <v>200</v>
      </c>
      <c r="D6" s="4">
        <v>200</v>
      </c>
      <c r="E6" s="11">
        <f>SUM(B6:D6)</f>
        <v>500</v>
      </c>
      <c r="F6" s="11">
        <f>G6-E6</f>
        <v>1500</v>
      </c>
      <c r="G6" s="4">
        <v>2000</v>
      </c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3" t="s">
        <v>3</v>
      </c>
      <c r="B7" s="11">
        <f>SUM(B4:B6)</f>
        <v>400</v>
      </c>
      <c r="C7" s="11">
        <f>SUM(C4:C6)</f>
        <v>1000</v>
      </c>
      <c r="D7" s="11">
        <f>SUM(D4:D6)</f>
        <v>700</v>
      </c>
      <c r="E7" s="3"/>
      <c r="F7" s="3"/>
      <c r="G7" s="3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3" t="s">
        <v>6</v>
      </c>
      <c r="B8" s="11">
        <f>G4-B7</f>
        <v>600</v>
      </c>
      <c r="C8" s="11">
        <f>G5-C7</f>
        <v>2000</v>
      </c>
      <c r="D8" s="11">
        <f>G6-D7</f>
        <v>1300</v>
      </c>
      <c r="E8" s="3"/>
      <c r="F8" s="3"/>
      <c r="G8" s="3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B12" s="1" t="s">
        <v>20</v>
      </c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3"/>
      <c r="B14" s="3" t="s">
        <v>0</v>
      </c>
      <c r="C14" s="3" t="s">
        <v>1</v>
      </c>
      <c r="D14" s="3" t="s">
        <v>2</v>
      </c>
    </row>
    <row r="15" spans="1:17" x14ac:dyDescent="0.25">
      <c r="A15" s="3" t="s">
        <v>0</v>
      </c>
      <c r="B15" s="12">
        <f>B4/G4</f>
        <v>0.1</v>
      </c>
      <c r="C15" s="12">
        <f>C4/G5</f>
        <v>0.1</v>
      </c>
      <c r="D15" s="12">
        <f>D4/G6</f>
        <v>0.1</v>
      </c>
    </row>
    <row r="16" spans="1:17" x14ac:dyDescent="0.25">
      <c r="A16" s="3" t="s">
        <v>7</v>
      </c>
      <c r="B16" s="12">
        <f>B5/G4</f>
        <v>0.2</v>
      </c>
      <c r="C16" s="12">
        <f>C5/G5</f>
        <v>0.16666666666666666</v>
      </c>
      <c r="D16" s="12">
        <f>D5/G6</f>
        <v>0.15</v>
      </c>
    </row>
    <row r="17" spans="1:15" x14ac:dyDescent="0.25">
      <c r="A17" s="3" t="s">
        <v>2</v>
      </c>
      <c r="B17" s="12">
        <f>B6/G4</f>
        <v>0.1</v>
      </c>
      <c r="C17" s="12">
        <f>C6/G5</f>
        <v>6.6666666666666666E-2</v>
      </c>
      <c r="D17" s="12">
        <f>D6/G6</f>
        <v>0.1</v>
      </c>
    </row>
    <row r="21" spans="1:15" x14ac:dyDescent="0.25">
      <c r="B21" s="1" t="s">
        <v>13</v>
      </c>
    </row>
    <row r="22" spans="1:15" x14ac:dyDescent="0.25">
      <c r="C22" s="1" t="s">
        <v>14</v>
      </c>
      <c r="H22" s="1" t="s">
        <v>15</v>
      </c>
    </row>
    <row r="23" spans="1:15" x14ac:dyDescent="0.25">
      <c r="G23" s="3"/>
      <c r="H23" s="3" t="s">
        <v>0</v>
      </c>
      <c r="I23" s="3" t="s">
        <v>1</v>
      </c>
      <c r="J23" s="3" t="s">
        <v>2</v>
      </c>
    </row>
    <row r="24" spans="1:15" x14ac:dyDescent="0.25">
      <c r="B24" s="3"/>
      <c r="C24" s="3" t="s">
        <v>0</v>
      </c>
      <c r="D24" s="3" t="s">
        <v>1</v>
      </c>
      <c r="E24" s="3" t="s">
        <v>2</v>
      </c>
      <c r="G24" s="3" t="s">
        <v>0</v>
      </c>
      <c r="H24" s="5">
        <v>1.1297440423654017</v>
      </c>
      <c r="I24" s="5">
        <v>6.1782877316857901E-2</v>
      </c>
      <c r="J24" s="5">
        <v>4.4130626654898489E-2</v>
      </c>
    </row>
    <row r="25" spans="1:15" x14ac:dyDescent="0.25">
      <c r="B25" s="3" t="s">
        <v>0</v>
      </c>
      <c r="C25" s="11">
        <f>1-B15</f>
        <v>0.9</v>
      </c>
      <c r="D25" s="11">
        <f>-C15</f>
        <v>-0.1</v>
      </c>
      <c r="E25" s="12">
        <f>-D15</f>
        <v>-0.1</v>
      </c>
      <c r="G25" s="3" t="s">
        <v>1</v>
      </c>
      <c r="H25" s="5">
        <v>0.24271844660194175</v>
      </c>
      <c r="I25" s="5">
        <v>1.0679611650485437</v>
      </c>
      <c r="J25" s="5">
        <v>4.8543689320388342E-2</v>
      </c>
      <c r="O25" s="1">
        <f>+G4*1.1</f>
        <v>1100</v>
      </c>
    </row>
    <row r="26" spans="1:15" x14ac:dyDescent="0.25">
      <c r="B26" s="3" t="s">
        <v>1</v>
      </c>
      <c r="C26" s="11">
        <f>-B16</f>
        <v>-0.2</v>
      </c>
      <c r="D26" s="11">
        <f>1-C16</f>
        <v>0.83333333333333337</v>
      </c>
      <c r="E26" s="12">
        <f>-D16</f>
        <v>-0.15</v>
      </c>
      <c r="G26" s="3" t="s">
        <v>2</v>
      </c>
      <c r="H26" s="5">
        <v>0.13901147396293029</v>
      </c>
      <c r="I26" s="5">
        <v>6.6195939982347754E-2</v>
      </c>
      <c r="J26" s="5">
        <v>1.1187113857016768</v>
      </c>
    </row>
    <row r="27" spans="1:15" x14ac:dyDescent="0.25">
      <c r="B27" s="3" t="s">
        <v>2</v>
      </c>
      <c r="C27" s="11">
        <f>-B17</f>
        <v>-0.1</v>
      </c>
      <c r="D27" s="11">
        <f>-C17</f>
        <v>-6.6666666666666666E-2</v>
      </c>
      <c r="E27" s="11">
        <f>1-D17</f>
        <v>0.9</v>
      </c>
    </row>
    <row r="28" spans="1:15" x14ac:dyDescent="0.25">
      <c r="I28" s="6"/>
      <c r="J28" s="6"/>
      <c r="K28" s="6"/>
    </row>
    <row r="29" spans="1:15" x14ac:dyDescent="0.25">
      <c r="B29" s="1" t="s">
        <v>10</v>
      </c>
      <c r="I29" s="6"/>
      <c r="J29" s="6"/>
      <c r="K29" s="6"/>
    </row>
    <row r="30" spans="1:15" x14ac:dyDescent="0.25">
      <c r="I30" s="6"/>
      <c r="J30" s="6"/>
      <c r="K30" s="6"/>
    </row>
    <row r="31" spans="1:15" x14ac:dyDescent="0.25">
      <c r="B31" s="3"/>
      <c r="C31" s="3" t="s">
        <v>17</v>
      </c>
      <c r="E31" s="3"/>
      <c r="F31" s="3" t="s">
        <v>19</v>
      </c>
      <c r="J31" s="1">
        <v>2640000</v>
      </c>
    </row>
    <row r="32" spans="1:15" x14ac:dyDescent="0.25">
      <c r="B32" s="3" t="s">
        <v>0</v>
      </c>
      <c r="C32" s="11">
        <f>F4*1.1</f>
        <v>440.00000000000006</v>
      </c>
      <c r="E32" s="3" t="s">
        <v>0</v>
      </c>
      <c r="F32" s="4">
        <v>2200.0000000000005</v>
      </c>
      <c r="G32" s="1">
        <v>2200.0000000000005</v>
      </c>
      <c r="J32" s="1">
        <v>3080000</v>
      </c>
    </row>
    <row r="33" spans="2:10" x14ac:dyDescent="0.25">
      <c r="B33" s="3" t="s">
        <v>1</v>
      </c>
      <c r="C33" s="11">
        <f t="shared" ref="C33:C34" si="0">F5*1.1</f>
        <v>2200</v>
      </c>
      <c r="E33" s="3" t="s">
        <v>1</v>
      </c>
      <c r="F33" s="4">
        <v>4400</v>
      </c>
      <c r="G33" s="1">
        <v>4400</v>
      </c>
      <c r="J33" s="1">
        <v>5280000</v>
      </c>
    </row>
    <row r="34" spans="2:10" x14ac:dyDescent="0.25">
      <c r="B34" s="3" t="s">
        <v>8</v>
      </c>
      <c r="C34" s="11">
        <f t="shared" si="0"/>
        <v>1650.0000000000002</v>
      </c>
      <c r="E34" s="3" t="s">
        <v>8</v>
      </c>
      <c r="F34" s="4">
        <v>6599.9999999999991</v>
      </c>
      <c r="G34" s="1">
        <v>6599.9999999999991</v>
      </c>
      <c r="J34" s="1" t="s">
        <v>16</v>
      </c>
    </row>
    <row r="37" spans="2:10" x14ac:dyDescent="0.25">
      <c r="B37" s="7" t="s">
        <v>18</v>
      </c>
    </row>
    <row r="39" spans="2:10" x14ac:dyDescent="0.25">
      <c r="B39" s="3"/>
      <c r="C39" s="8" t="s">
        <v>0</v>
      </c>
      <c r="D39" s="8" t="s">
        <v>1</v>
      </c>
      <c r="E39" s="8" t="s">
        <v>2</v>
      </c>
      <c r="F39" s="3" t="s">
        <v>3</v>
      </c>
      <c r="G39" s="3" t="s">
        <v>4</v>
      </c>
      <c r="H39" s="3" t="s">
        <v>5</v>
      </c>
    </row>
    <row r="40" spans="2:10" x14ac:dyDescent="0.25">
      <c r="B40" s="3" t="s">
        <v>0</v>
      </c>
      <c r="C40" s="13">
        <f>$H$40*B15</f>
        <v>220.00000000000006</v>
      </c>
      <c r="D40" s="13">
        <f>$H$41*C15</f>
        <v>440</v>
      </c>
      <c r="E40" s="13">
        <f>$H$42*D15</f>
        <v>660</v>
      </c>
      <c r="F40" s="11">
        <f>SUM(C40:E40)</f>
        <v>1320</v>
      </c>
      <c r="G40" s="11">
        <f>H40-F40</f>
        <v>880.00000000000045</v>
      </c>
      <c r="H40" s="11">
        <f>F32</f>
        <v>2200.0000000000005</v>
      </c>
    </row>
    <row r="41" spans="2:10" x14ac:dyDescent="0.25">
      <c r="B41" s="3" t="s">
        <v>1</v>
      </c>
      <c r="C41" s="13">
        <f>$H$40*B16</f>
        <v>440.00000000000011</v>
      </c>
      <c r="D41" s="13">
        <f>$H$41*C16</f>
        <v>733.33333333333326</v>
      </c>
      <c r="E41" s="13">
        <f>$H$42*D16</f>
        <v>989.99999999999977</v>
      </c>
      <c r="F41" s="11">
        <f>SUM(C41:E41)</f>
        <v>2163.333333333333</v>
      </c>
      <c r="G41" s="11">
        <f>H41-F41</f>
        <v>2236.666666666667</v>
      </c>
      <c r="H41" s="11">
        <f>F33</f>
        <v>4400</v>
      </c>
    </row>
    <row r="42" spans="2:10" x14ac:dyDescent="0.25">
      <c r="B42" s="3" t="s">
        <v>2</v>
      </c>
      <c r="C42" s="13">
        <f>$H$40*B17</f>
        <v>220.00000000000006</v>
      </c>
      <c r="D42" s="13">
        <f>$H$41*C17</f>
        <v>293.33333333333331</v>
      </c>
      <c r="E42" s="13">
        <f>$H$42*D17</f>
        <v>660</v>
      </c>
      <c r="F42" s="11">
        <f>SUM(C42:E42)</f>
        <v>1173.3333333333335</v>
      </c>
      <c r="G42" s="11">
        <f>H42-F42</f>
        <v>5426.6666666666661</v>
      </c>
      <c r="H42" s="11">
        <f>F34</f>
        <v>6599.9999999999991</v>
      </c>
    </row>
    <row r="43" spans="2:10" x14ac:dyDescent="0.25">
      <c r="B43" s="3" t="s">
        <v>3</v>
      </c>
      <c r="C43" s="11">
        <f>SUM(C40:C42)</f>
        <v>880.00000000000023</v>
      </c>
      <c r="D43" s="11">
        <f>SUM(D40:D42)</f>
        <v>1466.6666666666665</v>
      </c>
      <c r="E43" s="11">
        <f>SUM(E40:E42)</f>
        <v>2310</v>
      </c>
      <c r="F43" s="3"/>
      <c r="G43" s="3"/>
      <c r="H43" s="3"/>
    </row>
    <row r="44" spans="2:10" x14ac:dyDescent="0.25">
      <c r="B44" s="3" t="s">
        <v>6</v>
      </c>
      <c r="C44" s="11">
        <f>H40-C43</f>
        <v>1320.0000000000002</v>
      </c>
      <c r="D44" s="11">
        <f>H41-D43</f>
        <v>2933.3333333333335</v>
      </c>
      <c r="E44" s="11">
        <f>H42-E43</f>
        <v>4289.9999999999991</v>
      </c>
      <c r="F44" s="3"/>
      <c r="G44" s="3"/>
      <c r="H44" s="3"/>
    </row>
    <row r="46" spans="2:10" x14ac:dyDescent="0.25">
      <c r="B46" s="1" t="s">
        <v>21</v>
      </c>
    </row>
    <row r="47" spans="2:10" x14ac:dyDescent="0.25">
      <c r="B47" s="7" t="s">
        <v>11</v>
      </c>
    </row>
    <row r="50" spans="2:8" x14ac:dyDescent="0.25">
      <c r="B50" s="3"/>
      <c r="C50" s="3" t="s">
        <v>1</v>
      </c>
      <c r="D50" s="4">
        <v>5000</v>
      </c>
    </row>
    <row r="51" spans="2:8" x14ac:dyDescent="0.25">
      <c r="B51" s="3" t="s">
        <v>0</v>
      </c>
      <c r="C51" s="11">
        <f>+$D$50*C15</f>
        <v>500</v>
      </c>
      <c r="D51" s="3"/>
    </row>
    <row r="52" spans="2:8" x14ac:dyDescent="0.25">
      <c r="B52" s="3" t="s">
        <v>1</v>
      </c>
      <c r="C52" s="11">
        <f t="shared" ref="C52:C53" si="1">+$D$50*C16</f>
        <v>833.33333333333326</v>
      </c>
      <c r="D52" s="3"/>
    </row>
    <row r="53" spans="2:8" x14ac:dyDescent="0.25">
      <c r="B53" s="3" t="s">
        <v>2</v>
      </c>
      <c r="C53" s="11">
        <f t="shared" si="1"/>
        <v>333.33333333333331</v>
      </c>
      <c r="D53" s="3"/>
    </row>
    <row r="54" spans="2:8" x14ac:dyDescent="0.25">
      <c r="B54" s="3" t="s">
        <v>3</v>
      </c>
      <c r="C54" s="11">
        <f>SUM(C51:C53)</f>
        <v>1666.6666666666665</v>
      </c>
      <c r="D54" s="3"/>
    </row>
    <row r="57" spans="2:8" x14ac:dyDescent="0.25">
      <c r="B57" s="7" t="s">
        <v>12</v>
      </c>
    </row>
    <row r="58" spans="2:8" x14ac:dyDescent="0.25">
      <c r="B58" s="9"/>
      <c r="C58" s="9"/>
      <c r="D58" s="9"/>
      <c r="E58" s="9"/>
      <c r="F58" s="9"/>
      <c r="G58" s="9"/>
      <c r="H58" s="9"/>
    </row>
    <row r="59" spans="2:8" x14ac:dyDescent="0.25">
      <c r="B59" s="10"/>
      <c r="C59" s="10" t="s">
        <v>0</v>
      </c>
      <c r="D59" s="10" t="s">
        <v>1</v>
      </c>
      <c r="E59" s="10" t="s">
        <v>2</v>
      </c>
      <c r="F59" s="10" t="s">
        <v>3</v>
      </c>
      <c r="G59" s="10" t="s">
        <v>4</v>
      </c>
      <c r="H59" s="10" t="s">
        <v>5</v>
      </c>
    </row>
    <row r="60" spans="2:8" x14ac:dyDescent="0.25">
      <c r="B60" s="3" t="s">
        <v>0</v>
      </c>
      <c r="C60" s="13">
        <f>$H$60*B15</f>
        <v>200</v>
      </c>
      <c r="D60" s="13">
        <f>$H$61*C15</f>
        <v>500</v>
      </c>
      <c r="E60" s="13">
        <f>$H$62*D15</f>
        <v>600</v>
      </c>
      <c r="F60" s="11">
        <f>SUM(C60:E60)</f>
        <v>1300</v>
      </c>
      <c r="G60" s="11">
        <f>H60-F60</f>
        <v>700</v>
      </c>
      <c r="H60" s="4">
        <v>2000</v>
      </c>
    </row>
    <row r="61" spans="2:8" x14ac:dyDescent="0.25">
      <c r="B61" s="3" t="s">
        <v>1</v>
      </c>
      <c r="C61" s="13">
        <f>$H$60*B16</f>
        <v>400</v>
      </c>
      <c r="D61" s="13">
        <f>$H$61*C16</f>
        <v>833.33333333333326</v>
      </c>
      <c r="E61" s="13">
        <f>$H$62*D16</f>
        <v>900</v>
      </c>
      <c r="F61" s="11">
        <f>SUM(C61:E61)</f>
        <v>2133.333333333333</v>
      </c>
      <c r="G61" s="11">
        <f>H61-F61</f>
        <v>2866.666666666667</v>
      </c>
      <c r="H61" s="3">
        <f>D50</f>
        <v>5000</v>
      </c>
    </row>
    <row r="62" spans="2:8" x14ac:dyDescent="0.25">
      <c r="B62" s="3" t="s">
        <v>2</v>
      </c>
      <c r="C62" s="13">
        <f>$H$60*B17</f>
        <v>200</v>
      </c>
      <c r="D62" s="13">
        <f>$H$61*C17</f>
        <v>333.33333333333331</v>
      </c>
      <c r="E62" s="13">
        <f>$H$62*D17</f>
        <v>600</v>
      </c>
      <c r="F62" s="11">
        <f>SUM(C62:E62)</f>
        <v>1133.3333333333333</v>
      </c>
      <c r="G62" s="11">
        <f>H62-F62</f>
        <v>4866.666666666667</v>
      </c>
      <c r="H62" s="4">
        <v>6000</v>
      </c>
    </row>
    <row r="63" spans="2:8" x14ac:dyDescent="0.25">
      <c r="B63" s="3" t="s">
        <v>3</v>
      </c>
      <c r="C63" s="11">
        <f>SUM(C60:C62)</f>
        <v>800</v>
      </c>
      <c r="D63" s="11">
        <f>SUM(D60:D62)</f>
        <v>1666.6666666666665</v>
      </c>
      <c r="E63" s="11">
        <f>SUM(E60:E62)</f>
        <v>2100</v>
      </c>
      <c r="F63" s="3"/>
      <c r="G63" s="3"/>
      <c r="H63" s="3"/>
    </row>
    <row r="64" spans="2:8" x14ac:dyDescent="0.25">
      <c r="B64" s="3" t="s">
        <v>6</v>
      </c>
      <c r="C64" s="11">
        <f>H60-C63</f>
        <v>1200</v>
      </c>
      <c r="D64" s="11">
        <f>H61-D63</f>
        <v>3333.3333333333335</v>
      </c>
      <c r="E64" s="11">
        <f>H62-E63</f>
        <v>3900</v>
      </c>
      <c r="F64" s="3"/>
      <c r="G64" s="3"/>
      <c r="H6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uil1.ProduitMatriciel">
                <anchor moveWithCells="1" sizeWithCells="1">
                  <from>
                    <xdr:col>6</xdr:col>
                    <xdr:colOff>647700</xdr:colOff>
                    <xdr:row>31</xdr:row>
                    <xdr:rowOff>171450</xdr:rowOff>
                  </from>
                  <to>
                    <xdr:col>8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euil1.InverserMatrice">
                <anchor moveWithCells="1" siz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190500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Exercice de maison</vt:lpstr>
      <vt:lpstr>Partiel 2024</vt:lpstr>
      <vt:lpstr>Matrice1</vt:lpstr>
      <vt:lpstr>Matrice2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2025-06-27T11:51:13Z</dcterms:modified>
</cp:coreProperties>
</file>